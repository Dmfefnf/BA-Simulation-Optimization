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ols/Repos/VeAu/"/>
    </mc:Choice>
  </mc:AlternateContent>
  <xr:revisionPtr revIDLastSave="0" documentId="13_ncr:1_{BED47BD9-5437-6840-AA6D-9D7C13328288}" xr6:coauthVersionLast="47" xr6:coauthVersionMax="47" xr10:uidLastSave="{00000000-0000-0000-0000-000000000000}"/>
  <bookViews>
    <workbookView xWindow="2000" yWindow="6100" windowWidth="38620" windowHeight="21100" xr2:uid="{A3914C6C-EB35-42D8-8259-84576C78A7EE}"/>
  </bookViews>
  <sheets>
    <sheet name="scenarios" sheetId="1" r:id="rId1"/>
  </sheets>
  <definedNames>
    <definedName name="_xlnm._FilterDatabase" localSheetId="0" hidden="1">scenarios!$A$1:$AG$4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C3" i="1"/>
  <c r="C2" i="1"/>
</calcChain>
</file>

<file path=xl/sharedStrings.xml><?xml version="1.0" encoding="utf-8"?>
<sst xmlns="http://schemas.openxmlformats.org/spreadsheetml/2006/main" count="33" uniqueCount="33">
  <si>
    <t>scenario</t>
  </si>
  <si>
    <t>run_duration</t>
  </si>
  <si>
    <t>rate_multiplier</t>
  </si>
  <si>
    <t>worker_capacity</t>
  </si>
  <si>
    <t>scenario_name</t>
  </si>
  <si>
    <t>use_hourly_arrival_rates</t>
  </si>
  <si>
    <t>analysis1_fraction</t>
  </si>
  <si>
    <t>preparation_capacity</t>
  </si>
  <si>
    <t>sorting_capacity</t>
  </si>
  <si>
    <t>analysis1_capacity</t>
  </si>
  <si>
    <t>analysis2_capacity</t>
  </si>
  <si>
    <t>evaluation_capacity</t>
  </si>
  <si>
    <t>dispatching_capacity</t>
  </si>
  <si>
    <t>preparation_pt_low</t>
  </si>
  <si>
    <t>preparation_pt_high</t>
  </si>
  <si>
    <t>preparation_pt_mode</t>
  </si>
  <si>
    <t>sorting_pt_low</t>
  </si>
  <si>
    <t>sorting_pt_high</t>
  </si>
  <si>
    <t>sorting_pt_mode</t>
  </si>
  <si>
    <t>analysis1_pt_low</t>
  </si>
  <si>
    <t>analysis1_pt_high</t>
  </si>
  <si>
    <t>analysis1_pt_mode</t>
  </si>
  <si>
    <t>analysis2_pt_low</t>
  </si>
  <si>
    <t>analysis2_pt_high</t>
  </si>
  <si>
    <t>analysis2_pt_mode</t>
  </si>
  <si>
    <t>evaluation_pt_low</t>
  </si>
  <si>
    <t>evaluation_pt_high</t>
  </si>
  <si>
    <t>evaluation_pt_mode</t>
  </si>
  <si>
    <t>dispatching_pt_low</t>
  </si>
  <si>
    <t>dispatching_pt_high</t>
  </si>
  <si>
    <t>dispatching_pt_mode</t>
  </si>
  <si>
    <t>transport_duration</t>
  </si>
  <si>
    <t>eval_failed_fraction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</si>
</sst>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top"/>
    </xf>
    <xf numFmtId="0" fontId="1" fillId="3" borderId="0" xfId="0" applyFont="1" applyFill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5" borderId="0" xfId="0" applyFont="1" applyFill="1" applyAlignment="1">
      <alignment vertical="top" wrapText="1"/>
    </xf>
    <xf numFmtId="0" fontId="1" fillId="6" borderId="0" xfId="0" applyFont="1" applyFill="1" applyAlignment="1">
      <alignment vertical="top" wrapText="1"/>
    </xf>
    <xf numFmtId="0" fontId="2" fillId="0" borderId="0" xfId="0" applyFont="1" applyAlignment="1">
      <alignment vertical="top"/>
    </xf>
    <xf numFmtId="0" fontId="1" fillId="4" borderId="0" xfId="0" applyFont="1" applyFill="1" applyAlignment="1">
      <alignment horizontal="left" vertical="top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46AD6-2D11-407C-95CA-49DC21B94CD8}">
  <dimension ref="A1:AG4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baseColWidth="10" defaultColWidth="11.5" defaultRowHeight="13" x14ac:dyDescent="0.15"/>
  <cols>
    <col min="1" max="1" width="9.33203125" style="1" bestFit="1" customWidth="1"/>
    <col min="2" max="2" width="14" style="1" bestFit="1" customWidth="1"/>
    <col min="3" max="3" width="12.5" style="1" bestFit="1" customWidth="1"/>
    <col min="4" max="4" width="21" style="1" bestFit="1" customWidth="1"/>
    <col min="5" max="5" width="13.6640625" style="1" bestFit="1" customWidth="1"/>
    <col min="6" max="6" width="15.83203125" style="1" bestFit="1" customWidth="1"/>
    <col min="7" max="7" width="17" style="1" bestFit="1" customWidth="1"/>
    <col min="8" max="8" width="15" style="1" bestFit="1" customWidth="1"/>
    <col min="9" max="9" width="18" style="1" bestFit="1" customWidth="1"/>
    <col min="10" max="10" width="14.6640625" style="1" bestFit="1" customWidth="1"/>
    <col min="11" max="12" width="16.1640625" style="1" bestFit="1" customWidth="1"/>
    <col min="13" max="13" width="17" style="1" bestFit="1" customWidth="1"/>
    <col min="14" max="14" width="17.5" style="1" bestFit="1" customWidth="1"/>
    <col min="15" max="15" width="17" style="1" bestFit="1" customWidth="1"/>
    <col min="16" max="16" width="17.5" style="1" bestFit="1" customWidth="1"/>
    <col min="17" max="17" width="18.5" style="1" bestFit="1" customWidth="1"/>
    <col min="18" max="18" width="13.6640625" style="1" bestFit="1" customWidth="1"/>
    <col min="19" max="19" width="14.1640625" style="1" bestFit="1" customWidth="1"/>
    <col min="20" max="21" width="15.1640625" style="1" bestFit="1" customWidth="1"/>
    <col min="22" max="22" width="15.6640625" style="1" bestFit="1" customWidth="1"/>
    <col min="23" max="23" width="16.6640625" style="1" bestFit="1" customWidth="1"/>
    <col min="24" max="24" width="15.1640625" style="1" bestFit="1" customWidth="1"/>
    <col min="25" max="25" width="15.6640625" style="1" bestFit="1" customWidth="1"/>
    <col min="26" max="26" width="16.6640625" style="1" bestFit="1" customWidth="1"/>
    <col min="27" max="27" width="16" style="1" bestFit="1" customWidth="1"/>
    <col min="28" max="28" width="16.5" style="1" bestFit="1" customWidth="1"/>
    <col min="29" max="29" width="17.5" style="1" bestFit="1" customWidth="1"/>
    <col min="30" max="30" width="16.5" style="1" bestFit="1" customWidth="1"/>
    <col min="31" max="31" width="17" style="1" bestFit="1" customWidth="1"/>
    <col min="32" max="32" width="18" style="1" bestFit="1" customWidth="1"/>
    <col min="33" max="33" width="16.5" style="1" bestFit="1" customWidth="1"/>
    <col min="34" max="16384" width="11.5" style="1"/>
  </cols>
  <sheetData>
    <row r="1" spans="1:33" s="7" customFormat="1" ht="29.25" customHeight="1" x14ac:dyDescent="0.15">
      <c r="A1" s="2" t="s">
        <v>0</v>
      </c>
      <c r="B1" s="2" t="s">
        <v>4</v>
      </c>
      <c r="C1" s="2" t="s">
        <v>1</v>
      </c>
      <c r="D1" s="3" t="s">
        <v>5</v>
      </c>
      <c r="E1" s="4" t="s">
        <v>2</v>
      </c>
      <c r="F1" s="4" t="s">
        <v>6</v>
      </c>
      <c r="G1" s="8" t="s">
        <v>32</v>
      </c>
      <c r="H1" s="5" t="s">
        <v>3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</row>
    <row r="2" spans="1:33" s="7" customFormat="1" ht="14" x14ac:dyDescent="0.15">
      <c r="A2" s="1">
        <v>1</v>
      </c>
      <c r="B2" s="1">
        <v>1</v>
      </c>
      <c r="C2" s="1">
        <f>60*24</f>
        <v>1440</v>
      </c>
      <c r="D2" s="1" t="b">
        <v>1</v>
      </c>
      <c r="E2" s="1">
        <v>1</v>
      </c>
      <c r="F2" s="1">
        <v>0.8</v>
      </c>
      <c r="G2" s="1">
        <v>0.1</v>
      </c>
      <c r="H2" s="1">
        <v>100</v>
      </c>
      <c r="I2" s="1">
        <v>1</v>
      </c>
      <c r="J2" s="1">
        <v>1</v>
      </c>
      <c r="K2" s="1">
        <v>1</v>
      </c>
      <c r="L2" s="1">
        <v>1</v>
      </c>
      <c r="M2" s="1">
        <v>1</v>
      </c>
      <c r="N2" s="1">
        <v>1</v>
      </c>
      <c r="O2" s="1">
        <v>1.5</v>
      </c>
      <c r="P2" s="1">
        <v>2.5</v>
      </c>
      <c r="Q2" s="1">
        <v>2</v>
      </c>
      <c r="R2" s="1">
        <v>3</v>
      </c>
      <c r="S2" s="1">
        <v>5</v>
      </c>
      <c r="T2" s="1">
        <v>4</v>
      </c>
      <c r="U2" s="1">
        <v>3</v>
      </c>
      <c r="V2" s="1">
        <v>6</v>
      </c>
      <c r="W2" s="1">
        <v>4</v>
      </c>
      <c r="X2" s="1">
        <v>2</v>
      </c>
      <c r="Y2" s="1">
        <v>2</v>
      </c>
      <c r="Z2" s="1">
        <v>2</v>
      </c>
      <c r="AA2" s="1">
        <v>0.2</v>
      </c>
      <c r="AB2" s="1">
        <v>0.75</v>
      </c>
      <c r="AC2" s="1">
        <v>0.4</v>
      </c>
      <c r="AD2" s="1">
        <v>0.8</v>
      </c>
      <c r="AE2" s="1">
        <v>1.2</v>
      </c>
      <c r="AF2" s="1">
        <v>1</v>
      </c>
      <c r="AG2" s="1">
        <v>1</v>
      </c>
    </row>
    <row r="3" spans="1:33" s="7" customFormat="1" ht="14" x14ac:dyDescent="0.15">
      <c r="A3" s="1">
        <v>2</v>
      </c>
      <c r="B3" s="1">
        <v>2</v>
      </c>
      <c r="C3" s="1">
        <f>60*24</f>
        <v>1440</v>
      </c>
      <c r="D3" s="1" t="b">
        <v>1</v>
      </c>
      <c r="E3" s="1">
        <v>1</v>
      </c>
      <c r="F3" s="1">
        <v>0.8</v>
      </c>
      <c r="G3" s="1">
        <v>0.1</v>
      </c>
      <c r="H3" s="1">
        <v>100</v>
      </c>
      <c r="I3" s="1">
        <v>1</v>
      </c>
      <c r="J3" s="1">
        <v>1</v>
      </c>
      <c r="K3" s="1">
        <v>1</v>
      </c>
      <c r="L3" s="1">
        <v>4</v>
      </c>
      <c r="M3" s="1">
        <v>1</v>
      </c>
      <c r="N3" s="1">
        <v>1</v>
      </c>
      <c r="O3" s="1">
        <v>1.5</v>
      </c>
      <c r="P3" s="1">
        <v>2.5</v>
      </c>
      <c r="Q3" s="1">
        <v>2</v>
      </c>
      <c r="R3" s="1">
        <v>3</v>
      </c>
      <c r="S3" s="1">
        <v>5</v>
      </c>
      <c r="T3" s="1">
        <v>4</v>
      </c>
      <c r="U3" s="1">
        <v>3</v>
      </c>
      <c r="V3" s="1">
        <v>6</v>
      </c>
      <c r="W3" s="1">
        <v>4</v>
      </c>
      <c r="X3" s="1">
        <v>2</v>
      </c>
      <c r="Y3" s="1">
        <v>2</v>
      </c>
      <c r="Z3" s="1">
        <v>2</v>
      </c>
      <c r="AA3" s="1">
        <v>0.2</v>
      </c>
      <c r="AB3" s="1">
        <v>0.75</v>
      </c>
      <c r="AC3" s="1">
        <v>0.4</v>
      </c>
      <c r="AD3" s="1">
        <v>0.8</v>
      </c>
      <c r="AE3" s="1">
        <v>1.2</v>
      </c>
      <c r="AF3" s="1">
        <v>1</v>
      </c>
      <c r="AG3" s="1">
        <v>1</v>
      </c>
    </row>
    <row r="4" spans="1:33" s="7" customFormat="1" ht="14" x14ac:dyDescent="0.15">
      <c r="A4" s="1">
        <v>3</v>
      </c>
      <c r="B4" s="1">
        <v>3</v>
      </c>
      <c r="C4" s="1">
        <f>60*24</f>
        <v>1440</v>
      </c>
      <c r="D4" s="1" t="b">
        <v>1</v>
      </c>
      <c r="E4" s="1">
        <v>1</v>
      </c>
      <c r="F4" s="1">
        <v>0.8</v>
      </c>
      <c r="G4" s="1">
        <v>0.1</v>
      </c>
      <c r="H4" s="1">
        <v>100</v>
      </c>
      <c r="I4" s="1">
        <v>1</v>
      </c>
      <c r="J4" s="1">
        <v>1</v>
      </c>
      <c r="K4" s="1">
        <v>3</v>
      </c>
      <c r="L4" s="1">
        <v>1</v>
      </c>
      <c r="M4" s="1">
        <v>1</v>
      </c>
      <c r="N4" s="1">
        <v>1</v>
      </c>
      <c r="O4" s="1">
        <v>1.5</v>
      </c>
      <c r="P4" s="1">
        <v>2.5</v>
      </c>
      <c r="Q4" s="1">
        <v>2</v>
      </c>
      <c r="R4" s="1">
        <v>3</v>
      </c>
      <c r="S4" s="1">
        <v>5</v>
      </c>
      <c r="T4" s="1">
        <v>4</v>
      </c>
      <c r="U4" s="1">
        <v>3</v>
      </c>
      <c r="V4" s="1">
        <v>6</v>
      </c>
      <c r="W4" s="1">
        <v>4</v>
      </c>
      <c r="X4" s="1">
        <v>2</v>
      </c>
      <c r="Y4" s="1">
        <v>2</v>
      </c>
      <c r="Z4" s="1">
        <v>2</v>
      </c>
      <c r="AA4" s="1">
        <v>0.2</v>
      </c>
      <c r="AB4" s="1">
        <v>0.75</v>
      </c>
      <c r="AC4" s="1">
        <v>0.4</v>
      </c>
      <c r="AD4" s="1">
        <v>0.8</v>
      </c>
      <c r="AE4" s="1">
        <v>1.2</v>
      </c>
      <c r="AF4" s="1">
        <v>1</v>
      </c>
      <c r="AG4" s="1">
        <v>1</v>
      </c>
    </row>
  </sheetData>
  <autoFilter ref="A1:AG4" xr:uid="{6B046AD6-2D11-407C-95CA-49DC21B94CD8}"/>
  <pageMargins left="0.7" right="0.7" top="0.78740157499999996" bottom="0.78740157499999996" header="0.3" footer="0.3"/>
  <pageSetup paperSize="9" orientation="portrait" horizontalDpi="4294967293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DF5472B98498441B4A1BAC358ABA960" ma:contentTypeVersion="17" ma:contentTypeDescription="Ein neues Dokument erstellen." ma:contentTypeScope="" ma:versionID="36a717fb42dc34690412ceb807c86fd3">
  <xsd:schema xmlns:xsd="http://www.w3.org/2001/XMLSchema" xmlns:xs="http://www.w3.org/2001/XMLSchema" xmlns:p="http://schemas.microsoft.com/office/2006/metadata/properties" xmlns:ns2="669cc249-ff44-44bd-9245-9acaabead0fc" xmlns:ns3="68628b2f-7e15-4bb9-b45d-9b408bd3f434" xmlns:ns4="a93a847e-07ec-43eb-a88c-b18616081de6" targetNamespace="http://schemas.microsoft.com/office/2006/metadata/properties" ma:root="true" ma:fieldsID="ae743aa89e72b03c3906dc9cc64e335e" ns2:_="" ns3:_="" ns4:_="">
    <xsd:import namespace="669cc249-ff44-44bd-9245-9acaabead0fc"/>
    <xsd:import namespace="68628b2f-7e15-4bb9-b45d-9b408bd3f434"/>
    <xsd:import namespace="a93a847e-07ec-43eb-a88c-b18616081d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4:SharedWithUsers" minOccurs="0"/>
                <xsd:element ref="ns4:SharedWithDetails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9cc249-ff44-44bd-9245-9acaabead0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ildmarkierungen" ma:readOnly="false" ma:fieldId="{5cf76f15-5ced-4ddc-b409-7134ff3c332f}" ma:taxonomyMulti="true" ma:sspId="19e3ed14-352d-4aa2-a63b-0b06d7ab5f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628b2f-7e15-4bb9-b45d-9b408bd3f434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2b3fef38-8b2c-4616-b252-96f984329c4a}" ma:internalName="TaxCatchAll" ma:showField="CatchAllData" ma:web="a93a847e-07ec-43eb-a88c-b18616081de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3a847e-07ec-43eb-a88c-b18616081de6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0405307-A421-4830-BF40-EE6370E498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69cc249-ff44-44bd-9245-9acaabead0fc"/>
    <ds:schemaRef ds:uri="68628b2f-7e15-4bb9-b45d-9b408bd3f434"/>
    <ds:schemaRef ds:uri="a93a847e-07ec-43eb-a88c-b18616081de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BFF6907-E861-4852-83E9-299FD3D228F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scenarios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Brunschwiler Marco (brnw)</dc:creator>
  <cp:lastModifiedBy>Lukas Hollenstein</cp:lastModifiedBy>
  <dcterms:created xsi:type="dcterms:W3CDTF">2024-02-20T13:28:45Z</dcterms:created>
  <dcterms:modified xsi:type="dcterms:W3CDTF">2026-01-30T16:01:08Z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0d9bad3-6dac-4e9a-89a3-89f3b8d247b2_Enabled">
    <vt:lpwstr>true</vt:lpwstr>
  </property>
  <property fmtid="{D5CDD505-2E9C-101B-9397-08002B2CF9AE}" pid="3" name="MSIP_Label_10d9bad3-6dac-4e9a-89a3-89f3b8d247b2_SetDate">
    <vt:lpwstr>2024-02-20T13:31:05Z</vt:lpwstr>
  </property>
  <property fmtid="{D5CDD505-2E9C-101B-9397-08002B2CF9AE}" pid="4" name="MSIP_Label_10d9bad3-6dac-4e9a-89a3-89f3b8d247b2_Method">
    <vt:lpwstr>Standard</vt:lpwstr>
  </property>
  <property fmtid="{D5CDD505-2E9C-101B-9397-08002B2CF9AE}" pid="5" name="MSIP_Label_10d9bad3-6dac-4e9a-89a3-89f3b8d247b2_Name">
    <vt:lpwstr>10d9bad3-6dac-4e9a-89a3-89f3b8d247b2</vt:lpwstr>
  </property>
  <property fmtid="{D5CDD505-2E9C-101B-9397-08002B2CF9AE}" pid="6" name="MSIP_Label_10d9bad3-6dac-4e9a-89a3-89f3b8d247b2_SiteId">
    <vt:lpwstr>5d1a9f9d-201f-4a10-b983-451cf65cbc1e</vt:lpwstr>
  </property>
  <property fmtid="{D5CDD505-2E9C-101B-9397-08002B2CF9AE}" pid="7" name="MSIP_Label_10d9bad3-6dac-4e9a-89a3-89f3b8d247b2_ActionId">
    <vt:lpwstr>f12c60e2-d2bb-46e4-a28e-9f702fe7b458</vt:lpwstr>
  </property>
  <property fmtid="{D5CDD505-2E9C-101B-9397-08002B2CF9AE}" pid="8" name="MSIP_Label_10d9bad3-6dac-4e9a-89a3-89f3b8d247b2_ContentBits">
    <vt:lpwstr>0</vt:lpwstr>
  </property>
</Properties>
</file>